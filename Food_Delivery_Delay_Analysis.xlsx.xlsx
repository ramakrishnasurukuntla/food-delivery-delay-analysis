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7500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<sst xmlns="http://schemas.openxmlformats.org/spreadsheetml/2006/main" count="46" uniqueCount="30">
  <si>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order_id</t>
  </si>
  <si>
    <t>city</t>
  </si>
  <si>
    <t>restraunt</t>
  </si>
  <si>
    <t>delivery_partner</t>
  </si>
  <si>
    <t>delivery_minutes</t>
  </si>
  <si>
    <t>status</t>
  </si>
  <si>
    <t>order_value</t>
  </si>
  <si>
    <t>distance_km</t>
  </si>
  <si>
    <t>Hyderabad</t>
  </si>
  <si>
    <t>Burger Hub</t>
  </si>
  <si>
    <t>Swiggy</t>
  </si>
  <si>
    <t>Delayed</t>
  </si>
  <si>
    <t>KPI Calculations</t>
  </si>
  <si>
    <t>Banglore</t>
  </si>
  <si>
    <t>Pizza Point</t>
  </si>
  <si>
    <t>Zomato</t>
  </si>
  <si>
    <t>ON Time</t>
  </si>
  <si>
    <t>Total Orders</t>
  </si>
  <si>
    <t>Chennai</t>
  </si>
  <si>
    <t>Biryani House</t>
  </si>
  <si>
    <t>Avg Delivery Time</t>
  </si>
  <si>
    <t>KFC</t>
  </si>
  <si>
    <t>On Time</t>
  </si>
  <si>
    <t>Total Revenue</t>
  </si>
  <si>
    <t>Dominos</t>
  </si>
  <si>
    <t>Delayed Orders</t>
  </si>
  <si>
    <t>Other Calucations for Charts</t>
  </si>
  <si>
    <t>City Wise Avg Delivery Time</t>
  </si>
  <si>
    <t>Restraunt Revenue Analysis</t>
  </si>
  <si>
    <t>Status Wise 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</si>
</sst>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theme="9" tint="-0.5"/>
      <name val="Calibri"/>
      <charset val="134"/>
      <scheme val="minor"/>
    </font>
    <font>
      <b/>
      <sz val="11"/>
      <color theme="9" tint="-0.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3" fillId="0" borderId="0" xfId="0" applyFont="1" applyBorder="1">
      <alignment vertical="center"/>
    </xf>
    <xf numFmtId="0" fontId="0" fillId="0" borderId="0" xfId="0" applyBorder="1">
      <alignment vertical="center"/>
    </xf>
    <xf numFmtId="0" fontId="3" fillId="0" borderId="1" xfId="0" applyFont="1" applyBorder="1">
      <alignment vertical="center"/>
    </xf>
    <xf numFmtId="0" fontId="0" fillId="0" borderId="0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800"/>
              <a:t>On Time VS Delayed Orders</a:t>
            </a:r>
            <a:endParaRPr lang="en-IN" altLang="en-US"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Sheet2!$A$12:$A$13</c:f>
              <c:strCache>
                <c:ptCount val="2"/>
                <c:pt idx="0">
                  <c:v>Delayed</c:v>
                </c:pt>
                <c:pt idx="1">
                  <c:v>On Time</c:v>
                </c:pt>
              </c:strCache>
            </c:strRef>
          </c:cat>
          <c:val>
            <c:numRef>
              <c:f>Sheet2!$B$12:$B$13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332c98-1fcd-4f87-a300-a1c623608557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2000"/>
              <a:t>City Wise Average Delivery Time (mins</a:t>
            </a:r>
            <a:r>
              <a:rPr lang="en-IN" altLang="en-US"/>
              <a:t>)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Sheet2!$D$11:$D$12</c:f>
              <c:strCache>
                <c:ptCount val="2"/>
                <c:pt idx="0">
                  <c:v>Hyderabad</c:v>
                </c:pt>
                <c:pt idx="1">
                  <c:v>Banglore</c:v>
                </c:pt>
              </c:strCache>
            </c:strRef>
          </c:cat>
          <c:val>
            <c:numRef>
              <c:f>Sheet2!$E$11:$E$12</c:f>
              <c:numCache>
                <c:formatCode>General</c:formatCode>
                <c:ptCount val="2"/>
                <c:pt idx="0">
                  <c:v>30</c:v>
                </c:pt>
                <c:pt idx="1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02194396"/>
        <c:axId val="638142638"/>
      </c:barChart>
      <c:catAx>
        <c:axId val="10219439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142638"/>
        <c:crosses val="autoZero"/>
        <c:auto val="1"/>
        <c:lblAlgn val="ctr"/>
        <c:lblOffset val="100"/>
        <c:noMultiLvlLbl val="0"/>
      </c:catAx>
      <c:valAx>
        <c:axId val="63814263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1943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37ba67-56c1-441e-8fae-a49da4b0e6ce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9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920" b="1"/>
              <a:t>Restaurant Revenue Analysis</a:t>
            </a:r>
            <a:endParaRPr lang="en-IN" altLang="en-US" sz="192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Sheet2!$G$11:$G$15</c:f>
              <c:strCache>
                <c:ptCount val="5"/>
                <c:pt idx="0">
                  <c:v>Burger Hub</c:v>
                </c:pt>
                <c:pt idx="1">
                  <c:v>Pizza Point</c:v>
                </c:pt>
                <c:pt idx="2">
                  <c:v>Biryani House</c:v>
                </c:pt>
                <c:pt idx="3">
                  <c:v>KFC</c:v>
                </c:pt>
                <c:pt idx="4">
                  <c:v>Dominos</c:v>
                </c:pt>
              </c:strCache>
            </c:strRef>
          </c:cat>
          <c:val>
            <c:numRef>
              <c:f>Sheet2!$H$11:$H$15</c:f>
              <c:numCache>
                <c:formatCode>General</c:formatCode>
                <c:ptCount val="5"/>
                <c:pt idx="0">
                  <c:v>450</c:v>
                </c:pt>
                <c:pt idx="1">
                  <c:v>300</c:v>
                </c:pt>
                <c:pt idx="2">
                  <c:v>550</c:v>
                </c:pt>
                <c:pt idx="3">
                  <c:v>250</c:v>
                </c:pt>
                <c:pt idx="4">
                  <c:v>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2891317"/>
        <c:axId val="902541623"/>
      </c:barChart>
      <c:catAx>
        <c:axId val="928913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2541623"/>
        <c:crosses val="autoZero"/>
        <c:auto val="1"/>
        <c:lblAlgn val="ctr"/>
        <c:lblOffset val="100"/>
        <c:noMultiLvlLbl val="0"/>
      </c:catAx>
      <c:valAx>
        <c:axId val="902541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91317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fe4fa6-3d2d-4bd8-9ef7-2e449650df30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600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4.jpeg"/><Relationship Id="rId6" Type="http://schemas.openxmlformats.org/officeDocument/2006/relationships/image" Target="../media/image3.jpeg"/><Relationship Id="rId5" Type="http://schemas.openxmlformats.org/officeDocument/2006/relationships/image" Target="../media/image2.jpeg"/><Relationship Id="rId4" Type="http://schemas.openxmlformats.org/officeDocument/2006/relationships/image" Target="../media/image1.pn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368935</xdr:colOff>
      <xdr:row>2</xdr:row>
      <xdr:rowOff>167640</xdr:rowOff>
    </xdr:from>
    <xdr:to>
      <xdr:col>9</xdr:col>
      <xdr:colOff>1905</xdr:colOff>
      <xdr:row>12</xdr:row>
      <xdr:rowOff>123825</xdr:rowOff>
    </xdr:to>
    <xdr:sp>
      <xdr:nvSpPr>
        <xdr:cNvPr id="11" name="Rounded Rectangle 10"/>
        <xdr:cNvSpPr/>
      </xdr:nvSpPr>
      <xdr:spPr>
        <a:xfrm>
          <a:off x="368935" y="548640"/>
          <a:ext cx="5119370" cy="1861185"/>
        </a:xfrm>
        <a:prstGeom prst="roundRect">
          <a:avLst/>
        </a:prstGeom>
        <a:solidFill>
          <a:schemeClr val="accent6"/>
        </a:solidFill>
        <a:ln>
          <a:solidFill>
            <a:schemeClr val="accent3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100"/>
            <a:t>                                         </a:t>
          </a:r>
          <a:r>
            <a:rPr lang="en-IN" altLang="en-US" sz="3600" b="1">
              <a:solidFill>
                <a:sysClr val="windowText" lastClr="000000"/>
              </a:solidFill>
            </a:rPr>
            <a:t> Total Orders</a:t>
          </a:r>
          <a:endParaRPr lang="en-IN" altLang="en-US" sz="3600" b="1">
            <a:solidFill>
              <a:sysClr val="windowText" lastClr="000000"/>
            </a:solidFill>
          </a:endParaRPr>
        </a:p>
        <a:p>
          <a:pPr algn="l"/>
          <a:r>
            <a:rPr lang="en-IN" altLang="en-US" sz="2600" b="1">
              <a:solidFill>
                <a:sysClr val="windowText" lastClr="000000"/>
              </a:solidFill>
            </a:rPr>
            <a:t>                          </a:t>
          </a:r>
          <a:r>
            <a:rPr lang="en-IN" altLang="en-US" sz="4400" b="1">
              <a:solidFill>
                <a:sysClr val="windowText" lastClr="000000"/>
              </a:solidFill>
            </a:rPr>
            <a:t>  5</a:t>
          </a:r>
          <a:endParaRPr lang="en-IN" altLang="en-US" sz="44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201295</xdr:colOff>
      <xdr:row>5</xdr:row>
      <xdr:rowOff>20955</xdr:rowOff>
    </xdr:from>
    <xdr:to>
      <xdr:col>3</xdr:col>
      <xdr:colOff>30480</xdr:colOff>
      <xdr:row>10</xdr:row>
      <xdr:rowOff>130810</xdr:rowOff>
    </xdr:to>
    <xdr:pic>
      <xdr:nvPicPr>
        <xdr:cNvPr id="12" name="Picture 11" descr="trolley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0895" y="973455"/>
          <a:ext cx="1048385" cy="1062355"/>
        </a:xfrm>
        <a:prstGeom prst="rect">
          <a:avLst/>
        </a:prstGeom>
      </xdr:spPr>
    </xdr:pic>
    <xdr:clientData/>
  </xdr:twoCellAnchor>
  <xdr:twoCellAnchor>
    <xdr:from>
      <xdr:col>18</xdr:col>
      <xdr:colOff>446405</xdr:colOff>
      <xdr:row>2</xdr:row>
      <xdr:rowOff>123825</xdr:rowOff>
    </xdr:from>
    <xdr:to>
      <xdr:col>26</xdr:col>
      <xdr:colOff>494665</xdr:colOff>
      <xdr:row>13</xdr:row>
      <xdr:rowOff>71755</xdr:rowOff>
    </xdr:to>
    <xdr:sp>
      <xdr:nvSpPr>
        <xdr:cNvPr id="15" name="Rounded Rectangle 14"/>
        <xdr:cNvSpPr/>
      </xdr:nvSpPr>
      <xdr:spPr>
        <a:xfrm>
          <a:off x="11419205" y="504825"/>
          <a:ext cx="4925060" cy="204343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100"/>
            <a:t> 	       </a:t>
          </a:r>
          <a:r>
            <a:rPr lang="en-IN" altLang="en-US" sz="3600" b="1">
              <a:solidFill>
                <a:sysClr val="windowText" lastClr="000000"/>
              </a:solidFill>
            </a:rPr>
            <a:t>Total Revenue </a:t>
          </a:r>
          <a:endParaRPr lang="en-IN" altLang="en-US" sz="3600" b="1">
            <a:solidFill>
              <a:sysClr val="windowText" lastClr="000000"/>
            </a:solidFill>
          </a:endParaRPr>
        </a:p>
        <a:p>
          <a:pPr algn="l"/>
          <a:r>
            <a:rPr lang="en-IN" altLang="en-US" sz="1800" b="1">
              <a:solidFill>
                <a:sysClr val="windowText" lastClr="000000"/>
              </a:solidFill>
            </a:rPr>
            <a:t>                            </a:t>
          </a:r>
          <a:r>
            <a:rPr lang="en-IN" altLang="en-US" sz="2400" b="1">
              <a:solidFill>
                <a:sysClr val="windowText" lastClr="000000"/>
              </a:solidFill>
            </a:rPr>
            <a:t> </a:t>
          </a:r>
          <a:r>
            <a:rPr lang="en-IN" altLang="en-US" sz="3200" b="1">
              <a:solidFill>
                <a:sysClr val="windowText" lastClr="000000"/>
              </a:solidFill>
            </a:rPr>
            <a:t> 2250  </a:t>
          </a:r>
          <a:r>
            <a:rPr lang="en-IN" altLang="en-US" sz="1800" b="1">
              <a:solidFill>
                <a:sysClr val="windowText" lastClr="000000"/>
              </a:solidFill>
            </a:rPr>
            <a:t>    </a:t>
          </a:r>
          <a:endParaRPr lang="en-IN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19</xdr:col>
      <xdr:colOff>61595</xdr:colOff>
      <xdr:row>5</xdr:row>
      <xdr:rowOff>75565</xdr:rowOff>
    </xdr:from>
    <xdr:to>
      <xdr:col>21</xdr:col>
      <xdr:colOff>44450</xdr:colOff>
      <xdr:row>10</xdr:row>
      <xdr:rowOff>156210</xdr:rowOff>
    </xdr:to>
    <xdr:pic>
      <xdr:nvPicPr>
        <xdr:cNvPr id="16" name="Picture 15" descr="rupee 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643995" y="1028065"/>
          <a:ext cx="1202055" cy="1033145"/>
        </a:xfrm>
        <a:prstGeom prst="rect">
          <a:avLst/>
        </a:prstGeom>
      </xdr:spPr>
    </xdr:pic>
    <xdr:clientData/>
  </xdr:twoCellAnchor>
  <xdr:twoCellAnchor>
    <xdr:from>
      <xdr:col>27</xdr:col>
      <xdr:colOff>364490</xdr:colOff>
      <xdr:row>2</xdr:row>
      <xdr:rowOff>136525</xdr:rowOff>
    </xdr:from>
    <xdr:to>
      <xdr:col>35</xdr:col>
      <xdr:colOff>384810</xdr:colOff>
      <xdr:row>12</xdr:row>
      <xdr:rowOff>180340</xdr:rowOff>
    </xdr:to>
    <xdr:sp>
      <xdr:nvSpPr>
        <xdr:cNvPr id="17" name="Rounded Rectangle 16"/>
        <xdr:cNvSpPr/>
      </xdr:nvSpPr>
      <xdr:spPr>
        <a:xfrm>
          <a:off x="16823690" y="517525"/>
          <a:ext cx="4897120" cy="1948815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100"/>
            <a:t>                                          </a:t>
          </a:r>
          <a:r>
            <a:rPr lang="en-IN" altLang="en-US" sz="1600"/>
            <a:t>  </a:t>
          </a:r>
          <a:r>
            <a:rPr lang="en-IN" altLang="en-US" sz="3200" b="1">
              <a:solidFill>
                <a:sysClr val="windowText" lastClr="000000"/>
              </a:solidFill>
            </a:rPr>
            <a:t>Delayed Orders</a:t>
          </a:r>
          <a:endParaRPr lang="en-IN" altLang="en-US" sz="3200" b="1">
            <a:solidFill>
              <a:sysClr val="windowText" lastClr="000000"/>
            </a:solidFill>
          </a:endParaRPr>
        </a:p>
        <a:p>
          <a:pPr algn="l"/>
          <a:r>
            <a:rPr lang="en-IN" altLang="en-US" sz="2000" b="1">
              <a:solidFill>
                <a:sysClr val="windowText" lastClr="000000"/>
              </a:solidFill>
            </a:rPr>
            <a:t>                         </a:t>
          </a:r>
          <a:r>
            <a:rPr lang="en-IN" altLang="en-US" sz="3200" b="1">
              <a:solidFill>
                <a:sysClr val="windowText" lastClr="000000"/>
              </a:solidFill>
            </a:rPr>
            <a:t>      </a:t>
          </a:r>
          <a:r>
            <a:rPr lang="en-IN" altLang="en-US" sz="4000" b="1">
              <a:solidFill>
                <a:sysClr val="windowText" lastClr="000000"/>
              </a:solidFill>
            </a:rPr>
            <a:t> 3</a:t>
          </a:r>
          <a:endParaRPr lang="en-IN" altLang="en-US" sz="40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28</xdr:col>
      <xdr:colOff>343535</xdr:colOff>
      <xdr:row>6</xdr:row>
      <xdr:rowOff>134620</xdr:rowOff>
    </xdr:from>
    <xdr:to>
      <xdr:col>30</xdr:col>
      <xdr:colOff>33655</xdr:colOff>
      <xdr:row>11</xdr:row>
      <xdr:rowOff>108585</xdr:rowOff>
    </xdr:to>
    <xdr:pic>
      <xdr:nvPicPr>
        <xdr:cNvPr id="19" name="Picture 18" descr="delivery bike 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412335" y="1277620"/>
          <a:ext cx="909320" cy="926465"/>
        </a:xfrm>
        <a:prstGeom prst="rect">
          <a:avLst/>
        </a:prstGeom>
      </xdr:spPr>
    </xdr:pic>
    <xdr:clientData/>
  </xdr:twoCellAnchor>
  <xdr:twoCellAnchor>
    <xdr:from>
      <xdr:col>9</xdr:col>
      <xdr:colOff>513715</xdr:colOff>
      <xdr:row>2</xdr:row>
      <xdr:rowOff>137795</xdr:rowOff>
    </xdr:from>
    <xdr:to>
      <xdr:col>17</xdr:col>
      <xdr:colOff>573405</xdr:colOff>
      <xdr:row>12</xdr:row>
      <xdr:rowOff>169545</xdr:rowOff>
    </xdr:to>
    <xdr:sp>
      <xdr:nvSpPr>
        <xdr:cNvPr id="20" name="Rounded Rectangle 19"/>
        <xdr:cNvSpPr/>
      </xdr:nvSpPr>
      <xdr:spPr>
        <a:xfrm>
          <a:off x="6000115" y="518795"/>
          <a:ext cx="4936490" cy="193675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100"/>
            <a:t>                                 </a:t>
          </a:r>
          <a:r>
            <a:rPr lang="en-IN" altLang="en-US" sz="1800" b="1">
              <a:solidFill>
                <a:sysClr val="windowText" lastClr="000000"/>
              </a:solidFill>
            </a:rPr>
            <a:t>           </a:t>
          </a:r>
          <a:r>
            <a:rPr lang="en-IN" altLang="en-US" sz="2600" b="1">
              <a:solidFill>
                <a:sysClr val="windowText" lastClr="000000"/>
              </a:solidFill>
            </a:rPr>
            <a:t>  AVG Delivery Time    </a:t>
          </a:r>
          <a:r>
            <a:rPr lang="en-IN" altLang="en-US" sz="1800" b="1">
              <a:solidFill>
                <a:sysClr val="windowText" lastClr="000000"/>
              </a:solidFill>
            </a:rPr>
            <a:t>                     </a:t>
          </a:r>
          <a:r>
            <a:rPr lang="en-IN" altLang="en-US" sz="2600" b="1">
              <a:solidFill>
                <a:sysClr val="windowText" lastClr="000000"/>
              </a:solidFill>
            </a:rPr>
            <a:t>  </a:t>
          </a:r>
          <a:r>
            <a:rPr lang="en-IN" altLang="en-US" sz="2600">
              <a:solidFill>
                <a:sysClr val="windowText" lastClr="000000"/>
              </a:solidFill>
            </a:rPr>
            <a:t>             		</a:t>
          </a:r>
          <a:r>
            <a:rPr lang="en-IN" altLang="en-US" sz="4000" b="1">
              <a:solidFill>
                <a:sysClr val="windowText" lastClr="000000"/>
              </a:solidFill>
            </a:rPr>
            <a:t>36</a:t>
          </a:r>
          <a:r>
            <a:rPr lang="en-IN" altLang="en-US" sz="4000">
              <a:solidFill>
                <a:sysClr val="windowText" lastClr="000000"/>
              </a:solidFill>
            </a:rPr>
            <a:t> mins</a:t>
          </a:r>
          <a:endParaRPr lang="en-IN" altLang="en-US" sz="40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154940</xdr:colOff>
      <xdr:row>5</xdr:row>
      <xdr:rowOff>118745</xdr:rowOff>
    </xdr:from>
    <xdr:to>
      <xdr:col>12</xdr:col>
      <xdr:colOff>405130</xdr:colOff>
      <xdr:row>10</xdr:row>
      <xdr:rowOff>42545</xdr:rowOff>
    </xdr:to>
    <xdr:pic>
      <xdr:nvPicPr>
        <xdr:cNvPr id="21" name="Picture 20" descr="clock 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60540" y="1071245"/>
          <a:ext cx="859790" cy="876300"/>
        </a:xfrm>
        <a:prstGeom prst="rect">
          <a:avLst/>
        </a:prstGeom>
      </xdr:spPr>
    </xdr:pic>
    <xdr:clientData/>
  </xdr:twoCellAnchor>
  <xdr:twoCellAnchor>
    <xdr:from>
      <xdr:col>1</xdr:col>
      <xdr:colOff>563245</xdr:colOff>
      <xdr:row>16</xdr:row>
      <xdr:rowOff>170815</xdr:rowOff>
    </xdr:from>
    <xdr:to>
      <xdr:col>11</xdr:col>
      <xdr:colOff>137795</xdr:colOff>
      <xdr:row>37</xdr:row>
      <xdr:rowOff>145415</xdr:rowOff>
    </xdr:to>
    <xdr:graphicFrame>
      <xdr:nvGraphicFramePr>
        <xdr:cNvPr id="2" name="Chart 1"/>
        <xdr:cNvGraphicFramePr/>
      </xdr:nvGraphicFramePr>
      <xdr:xfrm>
        <a:off x="1172845" y="3218815"/>
        <a:ext cx="5670550" cy="397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412115</xdr:colOff>
      <xdr:row>17</xdr:row>
      <xdr:rowOff>15875</xdr:rowOff>
    </xdr:from>
    <xdr:to>
      <xdr:col>23</xdr:col>
      <xdr:colOff>558800</xdr:colOff>
      <xdr:row>37</xdr:row>
      <xdr:rowOff>147955</xdr:rowOff>
    </xdr:to>
    <xdr:graphicFrame>
      <xdr:nvGraphicFramePr>
        <xdr:cNvPr id="6" name="Chart 5"/>
        <xdr:cNvGraphicFramePr/>
      </xdr:nvGraphicFramePr>
      <xdr:xfrm>
        <a:off x="7727315" y="3254375"/>
        <a:ext cx="6852285" cy="394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285750</xdr:colOff>
      <xdr:row>17</xdr:row>
      <xdr:rowOff>27940</xdr:rowOff>
    </xdr:from>
    <xdr:to>
      <xdr:col>36</xdr:col>
      <xdr:colOff>55880</xdr:colOff>
      <xdr:row>37</xdr:row>
      <xdr:rowOff>110490</xdr:rowOff>
    </xdr:to>
    <xdr:graphicFrame>
      <xdr:nvGraphicFramePr>
        <xdr:cNvPr id="7" name="Chart 6"/>
        <xdr:cNvGraphicFramePr/>
      </xdr:nvGraphicFramePr>
      <xdr:xfrm>
        <a:off x="15525750" y="3266440"/>
        <a:ext cx="6475730" cy="3892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tabSelected="1" zoomScale="96" zoomScaleNormal="96" workbookViewId="0">
      <selection activeCell="A1" sqref="$A1:$XFD1"/>
    </sheetView>
  </sheetViews>
  <sheetFormatPr defaultColWidth="9.14285714285714" defaultRowHeight="15"/>
  <cols>
    <col min="1" max="1" width="10.2857142857143" style="2" customWidth="1"/>
    <col min="2" max="2" width="15.1714285714286" style="3" customWidth="1"/>
    <col min="3" max="3" width="14.2857142857143" style="3" customWidth="1"/>
    <col min="4" max="4" width="19.1428571428571" style="3" customWidth="1"/>
    <col min="5" max="5" width="16.2857142857143" style="3" customWidth="1"/>
    <col min="6" max="6" width="13.4285714285714" style="3" customWidth="1"/>
    <col min="7" max="7" width="14.2857142857143" style="3" customWidth="1"/>
    <col min="8" max="8" width="14.1428571428571" style="3" customWidth="1"/>
    <col min="9" max="9" width="11.4571428571429" customWidth="1"/>
    <col min="10" max="10" width="16.6666666666667" customWidth="1"/>
    <col min="11" max="11" width="12.2" customWidth="1"/>
    <col min="13" max="13" width="9.66666666666667" customWidth="1"/>
    <col min="16" max="16" width="11.9047619047619" customWidth="1"/>
  </cols>
  <sheetData>
    <row r="1" s="1" customFormat="1" spans="1:1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18">
      <c r="A2" s="6">
        <v>1</v>
      </c>
      <c r="B2" s="7" t="s">
        <v>8</v>
      </c>
      <c r="C2" s="7" t="s">
        <v>9</v>
      </c>
      <c r="D2" s="7" t="s">
        <v>10</v>
      </c>
      <c r="E2" s="7">
        <v>40</v>
      </c>
      <c r="F2" s="7" t="s">
        <v>11</v>
      </c>
      <c r="G2" s="7">
        <v>450</v>
      </c>
      <c r="H2" s="7">
        <v>8</v>
      </c>
      <c r="J2" s="8" t="s">
        <v>12</v>
      </c>
      <c r="M2" s="9"/>
    </row>
    <row r="3" spans="1:18">
      <c r="A3" s="6">
        <v>2</v>
      </c>
      <c r="B3" s="7" t="s">
        <v>13</v>
      </c>
      <c r="C3" s="7" t="s">
        <v>14</v>
      </c>
      <c r="D3" s="7" t="s">
        <v>15</v>
      </c>
      <c r="E3" s="7">
        <v>25</v>
      </c>
      <c r="F3" s="7" t="s">
        <v>16</v>
      </c>
      <c r="G3" s="7">
        <v>300</v>
      </c>
      <c r="H3" s="7">
        <v>5</v>
      </c>
      <c r="J3" s="10" t="s">
        <v>17</v>
      </c>
      <c r="K3" s="10">
        <f>COUNT(A2:A6)</f>
        <v>5</v>
      </c>
      <c r="M3" s="11"/>
      <c r="N3" s="12"/>
      <c r="P3" s="11"/>
      <c r="Q3" s="12"/>
      <c r="R3" s="12"/>
    </row>
    <row r="4" spans="1:18">
      <c r="A4" s="6">
        <v>3</v>
      </c>
      <c r="B4" s="7" t="s">
        <v>18</v>
      </c>
      <c r="C4" s="7" t="s">
        <v>19</v>
      </c>
      <c r="D4" s="7" t="s">
        <v>10</v>
      </c>
      <c r="E4" s="7">
        <v>50</v>
      </c>
      <c r="F4" s="7" t="s">
        <v>11</v>
      </c>
      <c r="G4" s="7">
        <v>550</v>
      </c>
      <c r="H4" s="7">
        <v>10</v>
      </c>
      <c r="J4" s="10" t="s">
        <v>20</v>
      </c>
      <c r="K4" s="10">
        <f>AVERAGE(E2:E6)</f>
        <v>36</v>
      </c>
      <c r="M4" s="12"/>
      <c r="N4" s="12"/>
      <c r="P4" s="12"/>
      <c r="Q4" s="12"/>
      <c r="R4" s="12"/>
    </row>
    <row r="5" spans="1:18">
      <c r="A5" s="6">
        <v>4</v>
      </c>
      <c r="B5" s="7" t="s">
        <v>8</v>
      </c>
      <c r="C5" s="7" t="s">
        <v>21</v>
      </c>
      <c r="D5" s="7" t="s">
        <v>15</v>
      </c>
      <c r="E5" s="7">
        <v>20</v>
      </c>
      <c r="F5" s="7" t="s">
        <v>22</v>
      </c>
      <c r="G5" s="7">
        <v>250</v>
      </c>
      <c r="H5" s="7">
        <v>3</v>
      </c>
      <c r="J5" s="10" t="s">
        <v>23</v>
      </c>
      <c r="K5" s="10">
        <f>SUM(G2:G6)</f>
        <v>2250</v>
      </c>
      <c r="M5" s="12"/>
      <c r="N5" s="12"/>
      <c r="P5" s="12"/>
      <c r="Q5" s="12"/>
      <c r="R5" s="12"/>
    </row>
    <row r="6" spans="1:18">
      <c r="A6" s="6">
        <v>5</v>
      </c>
      <c r="B6" s="7" t="s">
        <v>13</v>
      </c>
      <c r="C6" s="7" t="s">
        <v>24</v>
      </c>
      <c r="D6" s="7" t="s">
        <v>10</v>
      </c>
      <c r="E6" s="7">
        <v>45</v>
      </c>
      <c r="F6" s="7" t="s">
        <v>11</v>
      </c>
      <c r="G6" s="7">
        <v>700</v>
      </c>
      <c r="H6" s="7">
        <v>12</v>
      </c>
      <c r="J6" s="10" t="s">
        <v>25</v>
      </c>
      <c r="K6" s="10">
        <v>3</v>
      </c>
      <c r="P6" s="12"/>
      <c r="Q6" s="12"/>
      <c r="R6" s="12"/>
    </row>
    <row r="7" spans="1:18">
      <c r="M7" s="9"/>
      <c r="P7" s="12"/>
      <c r="Q7" s="12"/>
      <c r="R7" s="12"/>
    </row>
    <row r="8" spans="1:18">
      <c r="M8" s="12"/>
      <c r="N8" s="12"/>
      <c r="O8" s="12"/>
      <c r="P8" s="12"/>
      <c r="Q8" s="12"/>
      <c r="R8" s="12"/>
    </row>
    <row r="9" spans="1:18">
      <c r="M9" s="12"/>
      <c r="N9" s="12"/>
      <c r="O9" s="12"/>
    </row>
    <row r="10" spans="1:18">
      <c r="A10" s="13" t="s">
        <v>26</v>
      </c>
      <c r="B10" s="10"/>
      <c r="C10" s="14"/>
      <c r="D10" s="9" t="s">
        <v>27</v>
      </c>
      <c r="E10"/>
      <c r="F10" s="12"/>
      <c r="G10" s="9" t="s">
        <v>28</v>
      </c>
      <c r="H10"/>
      <c r="K10" s="11"/>
      <c r="L10" s="12"/>
      <c r="M10" s="12"/>
    </row>
    <row r="11" spans="1:18">
      <c r="A11" s="13" t="s">
        <v>29</v>
      </c>
      <c r="B11" s="10"/>
      <c r="C11" s="14"/>
      <c r="D11" s="10" t="s">
        <v>8</v>
      </c>
      <c r="E11" s="10">
        <v>30</v>
      </c>
      <c r="F11" s="12"/>
      <c r="G11" s="10" t="s">
        <v>9</v>
      </c>
      <c r="H11" s="10">
        <v>450</v>
      </c>
      <c r="K11" s="12"/>
      <c r="L11" s="12"/>
      <c r="M11" s="12"/>
    </row>
    <row r="12" spans="1:18">
      <c r="A12" s="10" t="s">
        <v>11</v>
      </c>
      <c r="B12" s="10">
        <v>3</v>
      </c>
      <c r="C12" s="14"/>
      <c r="D12" s="10" t="s">
        <v>13</v>
      </c>
      <c r="E12" s="10">
        <v>35</v>
      </c>
      <c r="F12" s="12"/>
      <c r="G12" s="10" t="s">
        <v>14</v>
      </c>
      <c r="H12" s="10">
        <v>300</v>
      </c>
      <c r="K12" s="12"/>
      <c r="L12" s="12"/>
      <c r="M12" s="12"/>
    </row>
    <row r="13" spans="1:18">
      <c r="A13" s="10" t="s">
        <v>22</v>
      </c>
      <c r="B13" s="10">
        <v>2</v>
      </c>
      <c r="C13" s="14"/>
      <c r="E13" s="12"/>
      <c r="F13" s="12"/>
      <c r="G13" s="10" t="s">
        <v>19</v>
      </c>
      <c r="H13" s="10">
        <v>550</v>
      </c>
      <c r="K13" s="12"/>
      <c r="L13" s="12"/>
      <c r="M13" s="12"/>
    </row>
    <row r="14" spans="1:18">
      <c r="G14" s="10" t="s">
        <v>21</v>
      </c>
      <c r="H14" s="10">
        <v>250</v>
      </c>
      <c r="K14" s="12"/>
      <c r="L14" s="12"/>
      <c r="M14" s="12"/>
    </row>
    <row r="15" spans="1:18">
      <c r="G15" s="10" t="s">
        <v>24</v>
      </c>
      <c r="H15" s="10">
        <v>700</v>
      </c>
      <c r="K15" s="12"/>
      <c r="L15" s="12"/>
      <c r="M15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3" zoomScaleNormal="53" topLeftCell="B1" workbookViewId="0">
      <selection activeCell="T62" sqref="T62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</dc:creator>
  <cp:lastModifiedBy>ramak</cp:lastModifiedBy>
  <dcterms:created xsi:type="dcterms:W3CDTF">2026-05-16T17:19:00Z</dcterms:created>
  <dcterms:modified xsi:type="dcterms:W3CDTF">2026-05-17T07:27:25Z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06E9F58298F94CCAB04D51709B39F260_11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